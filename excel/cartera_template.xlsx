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 Cartera" sheetId="1" state="visible" r:id="rId1"/>
    <sheet name="Preci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#,##0.00;-#,##0.00"/>
    <numFmt numFmtId="165" formatCode="+0.00%;-0.00%"/>
    <numFmt numFmtId="166" formatCode="0.00&quot;%&quot;"/>
    <numFmt numFmtId="167" formatCode="DD/MM/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85FA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i val="1"/>
      <color rgb="00185FA5"/>
      <sz val="9"/>
    </font>
    <font>
      <name val="Calibri"/>
      <b val="1"/>
      <color rgb="00444444"/>
      <sz val="10"/>
    </font>
    <font>
      <name val="Calibri"/>
      <b val="1"/>
      <color rgb="000C447C"/>
      <sz val="14"/>
    </font>
    <font>
      <name val="Calibri"/>
      <b val="1"/>
      <color rgb="001E6B34"/>
      <sz val="14"/>
    </font>
    <font>
      <name val="Calibri"/>
      <b val="1"/>
      <color rgb="008B6914"/>
      <sz val="14"/>
    </font>
    <font>
      <name val="Calibri"/>
      <b val="1"/>
      <color rgb="008B1A1A"/>
      <sz val="14"/>
    </font>
    <font>
      <name val="Calibri"/>
      <b val="1"/>
      <color rgb="00444444"/>
      <sz val="14"/>
    </font>
  </fonts>
  <fills count="10">
    <fill>
      <patternFill/>
    </fill>
    <fill>
      <patternFill patternType="gray125"/>
    </fill>
    <fill>
      <patternFill patternType="solid">
        <fgColor rgb="000C447C"/>
        <bgColor rgb="000C447C"/>
      </patternFill>
    </fill>
    <fill>
      <patternFill patternType="solid">
        <fgColor rgb="00D6E8F7"/>
        <bgColor rgb="00D6E8F7"/>
      </patternFill>
    </fill>
    <fill>
      <patternFill patternType="solid">
        <fgColor rgb="00185FA5"/>
        <bgColor rgb="00185FA5"/>
      </patternFill>
    </fill>
    <fill>
      <patternFill patternType="solid">
        <fgColor rgb="00F1F1F1"/>
        <bgColor rgb="00F1F1F1"/>
      </patternFill>
    </fill>
    <fill>
      <patternFill patternType="solid">
        <fgColor rgb="00FFFFFF"/>
        <bgColor rgb="00FFFFFF"/>
      </patternFill>
    </fill>
    <fill>
      <patternFill patternType="solid">
        <fgColor rgb="00D6F0DE"/>
        <bgColor rgb="00D6F0DE"/>
      </patternFill>
    </fill>
    <fill>
      <patternFill patternType="solid">
        <fgColor rgb="00FFF9C4"/>
        <bgColor rgb="00FFF9C4"/>
      </patternFill>
    </fill>
    <fill>
      <patternFill patternType="solid">
        <fgColor rgb="00FADADD"/>
        <bgColor rgb="00FADAD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C447C"/>
      </left>
      <right style="medium">
        <color rgb="000C447C"/>
      </right>
      <top style="medium">
        <color rgb="000C447C"/>
      </top>
      <bottom style="medium">
        <color rgb="000C447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4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4" fontId="8" fillId="3" borderId="2" applyAlignment="1" pivotButton="0" quotePrefix="0" xfId="0">
      <alignment horizontal="center" vertical="center"/>
    </xf>
    <xf numFmtId="49" fontId="9" fillId="7" borderId="2" applyAlignment="1" pivotButton="0" quotePrefix="0" xfId="0">
      <alignment horizontal="center" vertical="center"/>
    </xf>
    <xf numFmtId="4" fontId="9" fillId="7" borderId="2" applyAlignment="1" pivotButton="0" quotePrefix="0" xfId="0">
      <alignment horizontal="center" vertical="center"/>
    </xf>
    <xf numFmtId="49" fontId="11" fillId="9" borderId="2" applyAlignment="1" pivotButton="0" quotePrefix="0" xfId="0">
      <alignment horizontal="center" vertical="center"/>
    </xf>
    <xf numFmtId="164" fontId="10" fillId="8" borderId="2" applyAlignment="1" pivotButton="0" quotePrefix="0" xfId="0">
      <alignment horizontal="center" vertical="center"/>
    </xf>
    <xf numFmtId="1" fontId="8" fillId="3" borderId="2" applyAlignment="1" pivotButton="0" quotePrefix="0" xfId="0">
      <alignment horizontal="center" vertical="center"/>
    </xf>
    <xf numFmtId="165" fontId="10" fillId="8" borderId="2" applyAlignment="1" pivotButton="0" quotePrefix="0" xfId="0">
      <alignment horizontal="center" vertical="center"/>
    </xf>
    <xf numFmtId="167" fontId="12" fillId="5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49" fontId="4" fillId="5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5" customWidth="1" min="4" max="4"/>
    <col width="15" customWidth="1" min="5" max="5"/>
    <col width="16" customWidth="1" min="6" max="6"/>
    <col width="16" customWidth="1" min="7" max="7"/>
    <col width="13" customWidth="1" min="8" max="8"/>
    <col width="10" customWidth="1" min="9" max="9"/>
    <col width="10" customWidth="1" min="10" max="10"/>
  </cols>
  <sheetData>
    <row r="1" ht="36" customHeight="1">
      <c r="A1" s="1" t="inlineStr">
        <is>
          <t>MI CARTERA DE INVERSIONES</t>
        </is>
      </c>
    </row>
    <row r="2" ht="20" customHeight="1">
      <c r="A2" s="2" t="inlineStr">
        <is>
          <t>Completá las columnas en celeste  ·  El resto se calcula automáticamente</t>
        </is>
      </c>
    </row>
    <row r="4" ht="36" customHeight="1">
      <c r="A4" s="3" t="inlineStr">
        <is>
          <t>Ticker</t>
        </is>
      </c>
      <c r="B4" s="3" t="inlineStr">
        <is>
          <t>Nombre del activo</t>
        </is>
      </c>
      <c r="C4" s="3" t="inlineStr">
        <is>
          <t>Unidades</t>
        </is>
      </c>
      <c r="D4" s="3" t="inlineStr">
        <is>
          <t>Precio compra (USD)</t>
        </is>
      </c>
      <c r="E4" s="4" t="inlineStr">
        <is>
          <t>Precio actual (USD)</t>
        </is>
      </c>
      <c r="F4" s="4" t="inlineStr">
        <is>
          <t>Valor compra (USD)</t>
        </is>
      </c>
      <c r="G4" s="4" t="inlineStr">
        <is>
          <t>Valor actual (USD)</t>
        </is>
      </c>
      <c r="H4" s="4" t="inlineStr">
        <is>
          <t>P&amp;L (USD)</t>
        </is>
      </c>
      <c r="I4" s="4" t="inlineStr">
        <is>
          <t>P&amp;L (%)</t>
        </is>
      </c>
      <c r="J4" s="4" t="inlineStr">
        <is>
          <t>Peso (%)</t>
        </is>
      </c>
    </row>
    <row r="5">
      <c r="A5" s="5" t="inlineStr">
        <is>
          <t>AAPL</t>
        </is>
      </c>
      <c r="B5" s="6" t="inlineStr">
        <is>
          <t>Apple Inc.</t>
        </is>
      </c>
      <c r="C5" s="7" t="n">
        <v>150</v>
      </c>
      <c r="D5" s="8" t="n">
        <v>145.2</v>
      </c>
      <c r="E5" s="9" t="n">
        <v>297.84</v>
      </c>
      <c r="F5" s="9">
        <f>C5*D5</f>
        <v/>
      </c>
      <c r="G5" s="9">
        <f>C5*E5</f>
        <v/>
      </c>
      <c r="H5" s="10">
        <f>G5-F5</f>
        <v/>
      </c>
      <c r="I5" s="11">
        <f>(G5/F5-1)*100</f>
        <v/>
      </c>
      <c r="J5" s="12">
        <f>G5/G$12*100</f>
        <v/>
      </c>
    </row>
    <row r="6">
      <c r="A6" s="5" t="inlineStr">
        <is>
          <t>MSFT</t>
        </is>
      </c>
      <c r="B6" s="6" t="inlineStr">
        <is>
          <t>Microsoft</t>
        </is>
      </c>
      <c r="C6" s="7" t="n">
        <v>80</v>
      </c>
      <c r="D6" s="8" t="n">
        <v>290.5</v>
      </c>
      <c r="E6" s="13" t="n">
        <v>423.54</v>
      </c>
      <c r="F6" s="13">
        <f>C6*D6</f>
        <v/>
      </c>
      <c r="G6" s="13">
        <f>C6*E6</f>
        <v/>
      </c>
      <c r="H6" s="14">
        <f>G6-F6</f>
        <v/>
      </c>
      <c r="I6" s="15">
        <f>(G6/F6-1)*100</f>
        <v/>
      </c>
      <c r="J6" s="16">
        <f>G6/G$12*100</f>
        <v/>
      </c>
    </row>
    <row r="7">
      <c r="A7" s="5" t="inlineStr">
        <is>
          <t>GOOGL</t>
        </is>
      </c>
      <c r="B7" s="6" t="inlineStr">
        <is>
          <t>Alphabet</t>
        </is>
      </c>
      <c r="C7" s="7" t="n">
        <v>40</v>
      </c>
      <c r="D7" s="8" t="n">
        <v>138.75</v>
      </c>
      <c r="E7" s="9" t="n">
        <v>396.94</v>
      </c>
      <c r="F7" s="9">
        <f>C7*D7</f>
        <v/>
      </c>
      <c r="G7" s="9">
        <f>C7*E7</f>
        <v/>
      </c>
      <c r="H7" s="10">
        <f>G7-F7</f>
        <v/>
      </c>
      <c r="I7" s="11">
        <f>(G7/F7-1)*100</f>
        <v/>
      </c>
      <c r="J7" s="12">
        <f>G7/G$12*100</f>
        <v/>
      </c>
    </row>
    <row r="8">
      <c r="A8" s="5" t="inlineStr">
        <is>
          <t>BRK-B</t>
        </is>
      </c>
      <c r="B8" s="6" t="inlineStr">
        <is>
          <t>Berkshire Hathaway</t>
        </is>
      </c>
      <c r="C8" s="7" t="n">
        <v>60</v>
      </c>
      <c r="D8" s="8" t="n">
        <v>278.3</v>
      </c>
      <c r="E8" s="13" t="n">
        <v>488.38</v>
      </c>
      <c r="F8" s="13">
        <f>C8*D8</f>
        <v/>
      </c>
      <c r="G8" s="13">
        <f>C8*E8</f>
        <v/>
      </c>
      <c r="H8" s="14">
        <f>G8-F8</f>
        <v/>
      </c>
      <c r="I8" s="15">
        <f>(G8/F8-1)*100</f>
        <v/>
      </c>
      <c r="J8" s="16">
        <f>G8/G$12*100</f>
        <v/>
      </c>
    </row>
    <row r="9">
      <c r="A9" s="5" t="inlineStr">
        <is>
          <t>JPM</t>
        </is>
      </c>
      <c r="B9" s="6" t="inlineStr">
        <is>
          <t>JPMorgan Chase</t>
        </is>
      </c>
      <c r="C9" s="7" t="n">
        <v>100</v>
      </c>
      <c r="D9" s="8" t="n">
        <v>148.6</v>
      </c>
      <c r="E9" s="9" t="n">
        <v>300.73</v>
      </c>
      <c r="F9" s="9">
        <f>C9*D9</f>
        <v/>
      </c>
      <c r="G9" s="9">
        <f>C9*E9</f>
        <v/>
      </c>
      <c r="H9" s="10">
        <f>G9-F9</f>
        <v/>
      </c>
      <c r="I9" s="11">
        <f>(G9/F9-1)*100</f>
        <v/>
      </c>
      <c r="J9" s="12">
        <f>G9/G$12*100</f>
        <v/>
      </c>
    </row>
    <row r="10">
      <c r="A10" s="5" t="inlineStr">
        <is>
          <t>GLD</t>
        </is>
      </c>
      <c r="B10" s="6" t="inlineStr">
        <is>
          <t>SPDR Gold ETF</t>
        </is>
      </c>
      <c r="C10" s="7" t="n">
        <v>50</v>
      </c>
      <c r="D10" s="8" t="n">
        <v>168.4</v>
      </c>
      <c r="E10" s="13" t="n">
        <v>418.43</v>
      </c>
      <c r="F10" s="13">
        <f>C10*D10</f>
        <v/>
      </c>
      <c r="G10" s="13">
        <f>C10*E10</f>
        <v/>
      </c>
      <c r="H10" s="14">
        <f>G10-F10</f>
        <v/>
      </c>
      <c r="I10" s="15">
        <f>(G10/F10-1)*100</f>
        <v/>
      </c>
      <c r="J10" s="16">
        <f>G10/G$12*100</f>
        <v/>
      </c>
    </row>
    <row r="11">
      <c r="A11" s="5" t="inlineStr">
        <is>
          <t>SPY</t>
        </is>
      </c>
      <c r="B11" s="6" t="inlineStr">
        <is>
          <t>S&amp;P 500 ETF</t>
        </is>
      </c>
      <c r="C11" s="7" t="n">
        <v>30</v>
      </c>
      <c r="D11" s="8" t="n">
        <v>430</v>
      </c>
      <c r="E11" s="9" t="n">
        <v>738.65</v>
      </c>
      <c r="F11" s="9">
        <f>C11*D11</f>
        <v/>
      </c>
      <c r="G11" s="9">
        <f>C11*E11</f>
        <v/>
      </c>
      <c r="H11" s="10">
        <f>G11-F11</f>
        <v/>
      </c>
      <c r="I11" s="11">
        <f>(G11/F11-1)*100</f>
        <v/>
      </c>
      <c r="J11" s="12">
        <f>G11/G$12*100</f>
        <v/>
      </c>
    </row>
    <row r="12" ht="24" customHeight="1">
      <c r="A12" s="17" t="inlineStr">
        <is>
          <t>TOTAL CARTERA</t>
        </is>
      </c>
      <c r="C12" s="18" t="n"/>
      <c r="D12" s="18" t="n"/>
      <c r="E12" s="18" t="n"/>
      <c r="F12" s="19">
        <f>SUM(F5:F11)</f>
        <v/>
      </c>
      <c r="G12" s="19">
        <f>SUM(G5:G11)</f>
        <v/>
      </c>
      <c r="H12" s="19">
        <f>SUM(H5:H11)</f>
        <v/>
      </c>
      <c r="I12" s="20">
        <f>(G12/F12-1)*100</f>
        <v/>
      </c>
      <c r="J12" s="20">
        <f>SUM(J5:J11)</f>
        <v/>
      </c>
    </row>
    <row r="14">
      <c r="A14" s="21" t="inlineStr">
        <is>
          <t>ℹ  Columnas en celeste son editables. Precio actual corresponde al último dato disponible del CSV generado por el pipeline Python.</t>
        </is>
      </c>
    </row>
  </sheetData>
  <mergeCells count="4">
    <mergeCell ref="A1:I1"/>
    <mergeCell ref="A2:I2"/>
    <mergeCell ref="A14:J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6" customHeight="1">
      <c r="A1" s="1" t="inlineStr">
        <is>
          <t>PRECIOS HISTÓRICOS DE CIERRE</t>
        </is>
      </c>
    </row>
    <row r="2" ht="20" customHeight="1">
      <c r="A2" s="2" t="inlineStr">
        <is>
          <t>Últimos 60 días hábiles  ·  Fuente: Yahoo Finance vía yfinance</t>
        </is>
      </c>
    </row>
    <row r="4" ht="28" customHeight="1">
      <c r="A4" s="4" t="inlineStr">
        <is>
          <t>Fecha</t>
        </is>
      </c>
      <c r="B4" s="4" t="inlineStr">
        <is>
          <t>AAPL</t>
        </is>
      </c>
      <c r="C4" s="4" t="inlineStr">
        <is>
          <t>BRK-B</t>
        </is>
      </c>
      <c r="D4" s="4" t="inlineStr">
        <is>
          <t>GLD</t>
        </is>
      </c>
      <c r="E4" s="4" t="inlineStr">
        <is>
          <t>GOOGL</t>
        </is>
      </c>
      <c r="F4" s="4" t="inlineStr">
        <is>
          <t>JPM</t>
        </is>
      </c>
      <c r="G4" s="4" t="inlineStr">
        <is>
          <t>MSFT</t>
        </is>
      </c>
      <c r="H4" s="4" t="inlineStr">
        <is>
          <t>SPY</t>
        </is>
      </c>
    </row>
    <row r="5">
      <c r="A5" s="22" t="inlineStr">
        <is>
          <t>2026-02-23</t>
        </is>
      </c>
      <c r="B5" s="9" t="n">
        <v>265.93</v>
      </c>
      <c r="C5" s="9" t="n">
        <v>494.09</v>
      </c>
      <c r="D5" s="9" t="n">
        <v>481.28</v>
      </c>
      <c r="E5" s="9" t="n">
        <v>311.27</v>
      </c>
      <c r="F5" s="9" t="n">
        <v>296.15</v>
      </c>
      <c r="G5" s="9" t="n">
        <v>384.47</v>
      </c>
      <c r="H5" s="9" t="n">
        <v>680.53</v>
      </c>
    </row>
    <row r="6">
      <c r="A6" s="23" t="inlineStr">
        <is>
          <t>2026-02-24</t>
        </is>
      </c>
      <c r="B6" s="13" t="n">
        <v>271.89</v>
      </c>
      <c r="C6" s="13" t="n">
        <v>494.51</v>
      </c>
      <c r="D6" s="13" t="n">
        <v>474.61</v>
      </c>
      <c r="E6" s="13" t="n">
        <v>310.68</v>
      </c>
      <c r="F6" s="13" t="n">
        <v>295.79</v>
      </c>
      <c r="G6" s="13" t="n">
        <v>389</v>
      </c>
      <c r="H6" s="13" t="n">
        <v>685.48</v>
      </c>
    </row>
    <row r="7">
      <c r="A7" s="22" t="inlineStr">
        <is>
          <t>2026-02-25</t>
        </is>
      </c>
      <c r="B7" s="9" t="n">
        <v>273.98</v>
      </c>
      <c r="C7" s="9" t="n">
        <v>493.99</v>
      </c>
      <c r="D7" s="9" t="n">
        <v>473.42</v>
      </c>
      <c r="E7" s="9" t="n">
        <v>312.68</v>
      </c>
      <c r="F7" s="9" t="n">
        <v>301.76</v>
      </c>
      <c r="G7" s="9" t="n">
        <v>400.6</v>
      </c>
      <c r="H7" s="9" t="n">
        <v>691.26</v>
      </c>
    </row>
    <row r="8">
      <c r="A8" s="23" t="inlineStr">
        <is>
          <t>2026-02-26</t>
        </is>
      </c>
      <c r="B8" s="13" t="n">
        <v>272.7</v>
      </c>
      <c r="C8" s="13" t="n">
        <v>502.67</v>
      </c>
      <c r="D8" s="13" t="n">
        <v>477.48</v>
      </c>
      <c r="E8" s="13" t="n">
        <v>307.16</v>
      </c>
      <c r="F8" s="13" t="n">
        <v>304.57</v>
      </c>
      <c r="G8" s="13" t="n">
        <v>401.72</v>
      </c>
      <c r="H8" s="13" t="n">
        <v>687.42</v>
      </c>
    </row>
    <row r="9">
      <c r="A9" s="22" t="inlineStr">
        <is>
          <t>2026-02-27</t>
        </is>
      </c>
      <c r="B9" s="9" t="n">
        <v>263.94</v>
      </c>
      <c r="C9" s="9" t="n">
        <v>504.95</v>
      </c>
      <c r="D9" s="9" t="n">
        <v>483.75</v>
      </c>
      <c r="E9" s="9" t="n">
        <v>311.54</v>
      </c>
      <c r="F9" s="9" t="n">
        <v>298.77</v>
      </c>
      <c r="G9" s="9" t="n">
        <v>392.74</v>
      </c>
      <c r="H9" s="9" t="n">
        <v>684.12</v>
      </c>
    </row>
    <row r="10">
      <c r="A10" s="23" t="inlineStr">
        <is>
          <t>2026-03-02</t>
        </is>
      </c>
      <c r="B10" s="13" t="n">
        <v>264.48</v>
      </c>
      <c r="C10" s="13" t="n">
        <v>480.17</v>
      </c>
      <c r="D10" s="13" t="n">
        <v>490</v>
      </c>
      <c r="E10" s="13" t="n">
        <v>306.3</v>
      </c>
      <c r="F10" s="13" t="n">
        <v>296.04</v>
      </c>
      <c r="G10" s="13" t="n">
        <v>398.55</v>
      </c>
      <c r="H10" s="13" t="n">
        <v>684.51</v>
      </c>
    </row>
    <row r="11">
      <c r="A11" s="22" t="inlineStr">
        <is>
          <t>2026-03-03</t>
        </is>
      </c>
      <c r="B11" s="9" t="n">
        <v>263.51</v>
      </c>
      <c r="C11" s="9" t="n">
        <v>481.36</v>
      </c>
      <c r="D11" s="9" t="n">
        <v>468.14</v>
      </c>
      <c r="E11" s="9" t="n">
        <v>303.37</v>
      </c>
      <c r="F11" s="9" t="n">
        <v>298.73</v>
      </c>
      <c r="G11" s="9" t="n">
        <v>403.93</v>
      </c>
      <c r="H11" s="9" t="n">
        <v>678.48</v>
      </c>
    </row>
    <row r="12">
      <c r="A12" s="23" t="inlineStr">
        <is>
          <t>2026-03-04</t>
        </is>
      </c>
      <c r="B12" s="13" t="n">
        <v>262.28</v>
      </c>
      <c r="C12" s="13" t="n">
        <v>487.48</v>
      </c>
      <c r="D12" s="13" t="n">
        <v>471.8</v>
      </c>
      <c r="E12" s="13" t="n">
        <v>302.92</v>
      </c>
      <c r="F12" s="13" t="n">
        <v>297.87</v>
      </c>
      <c r="G12" s="13" t="n">
        <v>405.2</v>
      </c>
      <c r="H12" s="13" t="n">
        <v>683.26</v>
      </c>
    </row>
    <row r="13">
      <c r="A13" s="22" t="inlineStr">
        <is>
          <t>2026-03-05</t>
        </is>
      </c>
      <c r="B13" s="9" t="n">
        <v>260.05</v>
      </c>
      <c r="C13" s="9" t="n">
        <v>500.4</v>
      </c>
      <c r="D13" s="9" t="n">
        <v>466.13</v>
      </c>
      <c r="E13" s="9" t="n">
        <v>300.67</v>
      </c>
      <c r="F13" s="9" t="n">
        <v>292.06</v>
      </c>
      <c r="G13" s="9" t="n">
        <v>410.68</v>
      </c>
      <c r="H13" s="9" t="n">
        <v>679.45</v>
      </c>
    </row>
    <row r="14">
      <c r="A14" s="23" t="inlineStr">
        <is>
          <t>2026-03-06</t>
        </is>
      </c>
      <c r="B14" s="13" t="n">
        <v>257.22</v>
      </c>
      <c r="C14" s="13" t="n">
        <v>498.98</v>
      </c>
      <c r="D14" s="13" t="n">
        <v>473.51</v>
      </c>
      <c r="E14" s="13" t="n">
        <v>298.31</v>
      </c>
      <c r="F14" s="13" t="n">
        <v>288.01</v>
      </c>
      <c r="G14" s="13" t="n">
        <v>408.96</v>
      </c>
      <c r="H14" s="13" t="n">
        <v>670.55</v>
      </c>
    </row>
    <row r="15">
      <c r="A15" s="22" t="inlineStr">
        <is>
          <t>2026-03-09</t>
        </is>
      </c>
      <c r="B15" s="9" t="n">
        <v>259.64</v>
      </c>
      <c r="C15" s="9" t="n">
        <v>497.2</v>
      </c>
      <c r="D15" s="9" t="n">
        <v>472.53</v>
      </c>
      <c r="E15" s="9" t="n">
        <v>306.36</v>
      </c>
      <c r="F15" s="9" t="n">
        <v>288.44</v>
      </c>
      <c r="G15" s="9" t="n">
        <v>409.41</v>
      </c>
      <c r="H15" s="9" t="n">
        <v>676.42</v>
      </c>
    </row>
    <row r="16">
      <c r="A16" s="23" t="inlineStr">
        <is>
          <t>2026-03-10</t>
        </is>
      </c>
      <c r="B16" s="13" t="n">
        <v>260.59</v>
      </c>
      <c r="C16" s="13" t="n">
        <v>494.14</v>
      </c>
      <c r="D16" s="13" t="n">
        <v>477.86</v>
      </c>
      <c r="E16" s="13" t="n">
        <v>307.04</v>
      </c>
      <c r="F16" s="13" t="n">
        <v>287.26</v>
      </c>
      <c r="G16" s="13" t="n">
        <v>405.76</v>
      </c>
      <c r="H16" s="13" t="n">
        <v>675.34</v>
      </c>
    </row>
    <row r="17">
      <c r="A17" s="22" t="inlineStr">
        <is>
          <t>2026-03-11</t>
        </is>
      </c>
      <c r="B17" s="9" t="n">
        <v>260.57</v>
      </c>
      <c r="C17" s="9" t="n">
        <v>493.57</v>
      </c>
      <c r="D17" s="9" t="n">
        <v>476.24</v>
      </c>
      <c r="E17" s="9" t="n">
        <v>308.7</v>
      </c>
      <c r="F17" s="9" t="n">
        <v>286.06</v>
      </c>
      <c r="G17" s="9" t="n">
        <v>404.88</v>
      </c>
      <c r="H17" s="9" t="n">
        <v>674.49</v>
      </c>
    </row>
    <row r="18">
      <c r="A18" s="23" t="inlineStr">
        <is>
          <t>2026-03-12</t>
        </is>
      </c>
      <c r="B18" s="13" t="n">
        <v>255.52</v>
      </c>
      <c r="C18" s="13" t="n">
        <v>491.89</v>
      </c>
      <c r="D18" s="13" t="n">
        <v>466.88</v>
      </c>
      <c r="E18" s="13" t="n">
        <v>303.55</v>
      </c>
      <c r="F18" s="13" t="n">
        <v>281.45</v>
      </c>
      <c r="G18" s="13" t="n">
        <v>401.86</v>
      </c>
      <c r="H18" s="13" t="n">
        <v>664.25</v>
      </c>
    </row>
    <row r="19">
      <c r="A19" s="22" t="inlineStr">
        <is>
          <t>2026-03-13</t>
        </is>
      </c>
      <c r="B19" s="9" t="n">
        <v>249.89</v>
      </c>
      <c r="C19" s="9" t="n">
        <v>490.03</v>
      </c>
      <c r="D19" s="9" t="n">
        <v>460.84</v>
      </c>
      <c r="E19" s="9" t="n">
        <v>302.28</v>
      </c>
      <c r="F19" s="9" t="n">
        <v>282</v>
      </c>
      <c r="G19" s="9" t="n">
        <v>395.55</v>
      </c>
      <c r="H19" s="9" t="n">
        <v>660.49</v>
      </c>
    </row>
    <row r="20">
      <c r="A20" s="23" t="inlineStr">
        <is>
          <t>2026-03-16</t>
        </is>
      </c>
      <c r="B20" s="13" t="n">
        <v>252.59</v>
      </c>
      <c r="C20" s="13" t="n">
        <v>492.21</v>
      </c>
      <c r="D20" s="13" t="n">
        <v>460.43</v>
      </c>
      <c r="E20" s="13" t="n">
        <v>305.56</v>
      </c>
      <c r="F20" s="13" t="n">
        <v>284.7</v>
      </c>
      <c r="G20" s="13" t="n">
        <v>399.95</v>
      </c>
      <c r="H20" s="13" t="n">
        <v>667.21</v>
      </c>
    </row>
    <row r="21">
      <c r="A21" s="22" t="inlineStr">
        <is>
          <t>2026-03-17</t>
        </is>
      </c>
      <c r="B21" s="9" t="n">
        <v>254</v>
      </c>
      <c r="C21" s="9" t="n">
        <v>492.58</v>
      </c>
      <c r="D21" s="9" t="n">
        <v>459.27</v>
      </c>
      <c r="E21" s="9" t="n">
        <v>310.92</v>
      </c>
      <c r="F21" s="9" t="n">
        <v>285.43</v>
      </c>
      <c r="G21" s="9" t="n">
        <v>399.41</v>
      </c>
      <c r="H21" s="9" t="n">
        <v>668.96</v>
      </c>
    </row>
    <row r="22">
      <c r="A22" s="23" t="inlineStr">
        <is>
          <t>2026-03-18</t>
        </is>
      </c>
      <c r="B22" s="13" t="n">
        <v>249.71</v>
      </c>
      <c r="C22" s="13" t="n">
        <v>484.47</v>
      </c>
      <c r="D22" s="13" t="n">
        <v>444.74</v>
      </c>
      <c r="E22" s="13" t="n">
        <v>307.69</v>
      </c>
      <c r="F22" s="13" t="n">
        <v>286.27</v>
      </c>
      <c r="G22" s="13" t="n">
        <v>391.79</v>
      </c>
      <c r="H22" s="13" t="n">
        <v>659.63</v>
      </c>
    </row>
    <row r="23">
      <c r="A23" s="22" t="inlineStr">
        <is>
          <t>2026-03-19</t>
        </is>
      </c>
      <c r="B23" s="9" t="n">
        <v>248.73</v>
      </c>
      <c r="C23" s="9" t="n">
        <v>481.48</v>
      </c>
      <c r="D23" s="9" t="n">
        <v>426.41</v>
      </c>
      <c r="E23" s="9" t="n">
        <v>307.13</v>
      </c>
      <c r="F23" s="9" t="n">
        <v>286.5</v>
      </c>
      <c r="G23" s="9" t="n">
        <v>389.02</v>
      </c>
      <c r="H23" s="9" t="n">
        <v>658</v>
      </c>
    </row>
    <row r="24">
      <c r="A24" s="23" t="inlineStr">
        <is>
          <t>2026-03-20</t>
        </is>
      </c>
      <c r="B24" s="13" t="n">
        <v>247.76</v>
      </c>
      <c r="C24" s="13" t="n">
        <v>480.94</v>
      </c>
      <c r="D24" s="13" t="n">
        <v>413.38</v>
      </c>
      <c r="E24" s="13" t="n">
        <v>301</v>
      </c>
      <c r="F24" s="13" t="n">
        <v>285.1</v>
      </c>
      <c r="G24" s="13" t="n">
        <v>381.87</v>
      </c>
      <c r="H24" s="13" t="n">
        <v>648.5700000000001</v>
      </c>
    </row>
    <row r="25">
      <c r="A25" s="22" t="inlineStr">
        <is>
          <t>2026-03-23</t>
        </is>
      </c>
      <c r="B25" s="9" t="n">
        <v>251.26</v>
      </c>
      <c r="C25" s="9" t="n">
        <v>479.98</v>
      </c>
      <c r="D25" s="9" t="n">
        <v>404.04</v>
      </c>
      <c r="E25" s="9" t="n">
        <v>302.06</v>
      </c>
      <c r="F25" s="9" t="n">
        <v>288.43</v>
      </c>
      <c r="G25" s="9" t="n">
        <v>383</v>
      </c>
      <c r="H25" s="9" t="n">
        <v>655.38</v>
      </c>
    </row>
    <row r="26">
      <c r="A26" s="23" t="inlineStr">
        <is>
          <t>2026-03-24</t>
        </is>
      </c>
      <c r="B26" s="13" t="n">
        <v>251.41</v>
      </c>
      <c r="C26" s="13" t="n">
        <v>479.33</v>
      </c>
      <c r="D26" s="13" t="n">
        <v>404.13</v>
      </c>
      <c r="E26" s="13" t="n">
        <v>290.44</v>
      </c>
      <c r="F26" s="13" t="n">
        <v>290.91</v>
      </c>
      <c r="G26" s="13" t="n">
        <v>372.74</v>
      </c>
      <c r="H26" s="13" t="n">
        <v>653.1799999999999</v>
      </c>
    </row>
    <row r="27">
      <c r="A27" s="22" t="inlineStr">
        <is>
          <t>2026-03-25</t>
        </is>
      </c>
      <c r="B27" s="9" t="n">
        <v>252.39</v>
      </c>
      <c r="C27" s="9" t="n">
        <v>476.19</v>
      </c>
      <c r="D27" s="9" t="n">
        <v>416.29</v>
      </c>
      <c r="E27" s="9" t="n">
        <v>290.93</v>
      </c>
      <c r="F27" s="9" t="n">
        <v>293.92</v>
      </c>
      <c r="G27" s="9" t="n">
        <v>371.04</v>
      </c>
      <c r="H27" s="9" t="n">
        <v>656.8200000000001</v>
      </c>
    </row>
    <row r="28">
      <c r="A28" s="23" t="inlineStr">
        <is>
          <t>2026-03-26</t>
        </is>
      </c>
      <c r="B28" s="13" t="n">
        <v>252.66</v>
      </c>
      <c r="C28" s="13" t="n">
        <v>475.27</v>
      </c>
      <c r="D28" s="13" t="n">
        <v>400.64</v>
      </c>
      <c r="E28" s="13" t="n">
        <v>280.92</v>
      </c>
      <c r="F28" s="13" t="n">
        <v>290.17</v>
      </c>
      <c r="G28" s="13" t="n">
        <v>365.97</v>
      </c>
      <c r="H28" s="13" t="n">
        <v>645.09</v>
      </c>
    </row>
    <row r="29">
      <c r="A29" s="22" t="inlineStr">
        <is>
          <t>2026-03-27</t>
        </is>
      </c>
      <c r="B29" s="9" t="n">
        <v>248.57</v>
      </c>
      <c r="C29" s="9" t="n">
        <v>468.49</v>
      </c>
      <c r="D29" s="9" t="n">
        <v>414.7</v>
      </c>
      <c r="E29" s="9" t="n">
        <v>274.34</v>
      </c>
      <c r="F29" s="9" t="n">
        <v>281.4</v>
      </c>
      <c r="G29" s="9" t="n">
        <v>356.77</v>
      </c>
      <c r="H29" s="9" t="n">
        <v>634.09</v>
      </c>
    </row>
    <row r="30">
      <c r="A30" s="23" t="inlineStr">
        <is>
          <t>2026-03-30</t>
        </is>
      </c>
      <c r="B30" s="13" t="n">
        <v>246.4</v>
      </c>
      <c r="C30" s="13" t="n">
        <v>474.66</v>
      </c>
      <c r="D30" s="13" t="n">
        <v>414.58</v>
      </c>
      <c r="E30" s="13" t="n">
        <v>273.5</v>
      </c>
      <c r="F30" s="13" t="n">
        <v>282.33</v>
      </c>
      <c r="G30" s="13" t="n">
        <v>358.96</v>
      </c>
      <c r="H30" s="13" t="n">
        <v>631.97</v>
      </c>
    </row>
    <row r="31">
      <c r="A31" s="22" t="inlineStr">
        <is>
          <t>2026-03-31</t>
        </is>
      </c>
      <c r="B31" s="9" t="n">
        <v>253.56</v>
      </c>
      <c r="C31" s="9" t="n">
        <v>479.2</v>
      </c>
      <c r="D31" s="9" t="n">
        <v>430.29</v>
      </c>
      <c r="E31" s="9" t="n">
        <v>287.56</v>
      </c>
      <c r="F31" s="9" t="n">
        <v>292.66</v>
      </c>
      <c r="G31" s="9" t="n">
        <v>370.17</v>
      </c>
      <c r="H31" s="9" t="n">
        <v>650.34</v>
      </c>
    </row>
    <row r="32">
      <c r="A32" s="23" t="inlineStr">
        <is>
          <t>2026-04-01</t>
        </is>
      </c>
      <c r="B32" s="13" t="n">
        <v>255.39</v>
      </c>
      <c r="C32" s="13" t="n">
        <v>478.5</v>
      </c>
      <c r="D32" s="13" t="n">
        <v>437.82</v>
      </c>
      <c r="E32" s="13" t="n">
        <v>297.39</v>
      </c>
      <c r="F32" s="13" t="n">
        <v>293.88</v>
      </c>
      <c r="G32" s="13" t="n">
        <v>369.37</v>
      </c>
      <c r="H32" s="13" t="n">
        <v>655.24</v>
      </c>
    </row>
    <row r="33">
      <c r="A33" s="22" t="inlineStr">
        <is>
          <t>2026-04-02</t>
        </is>
      </c>
      <c r="B33" s="9" t="n">
        <v>255.68</v>
      </c>
      <c r="C33" s="9" t="n">
        <v>477.35</v>
      </c>
      <c r="D33" s="9" t="n">
        <v>429.41</v>
      </c>
      <c r="E33" s="9" t="n">
        <v>295.77</v>
      </c>
      <c r="F33" s="9" t="n">
        <v>293.1</v>
      </c>
      <c r="G33" s="9" t="n">
        <v>373.46</v>
      </c>
      <c r="H33" s="9" t="n">
        <v>655.83</v>
      </c>
    </row>
    <row r="34">
      <c r="A34" s="23" t="inlineStr">
        <is>
          <t>2026-04-06</t>
        </is>
      </c>
      <c r="B34" s="13" t="n">
        <v>258.62</v>
      </c>
      <c r="C34" s="13" t="n">
        <v>476.38</v>
      </c>
      <c r="D34" s="13" t="n">
        <v>427.65</v>
      </c>
      <c r="E34" s="13" t="n">
        <v>299.99</v>
      </c>
      <c r="F34" s="13" t="n">
        <v>295.45</v>
      </c>
      <c r="G34" s="13" t="n">
        <v>372.88</v>
      </c>
      <c r="H34" s="13" t="n">
        <v>658.9299999999999</v>
      </c>
    </row>
    <row r="35">
      <c r="A35" s="22" t="inlineStr">
        <is>
          <t>2026-04-07</t>
        </is>
      </c>
      <c r="B35" s="9" t="n">
        <v>253.27</v>
      </c>
      <c r="C35" s="9" t="n">
        <v>478.08</v>
      </c>
      <c r="D35" s="9" t="n">
        <v>431.81</v>
      </c>
      <c r="E35" s="9" t="n">
        <v>305.46</v>
      </c>
      <c r="F35" s="9" t="n">
        <v>297.4</v>
      </c>
      <c r="G35" s="9" t="n">
        <v>372.29</v>
      </c>
      <c r="H35" s="9" t="n">
        <v>659.22</v>
      </c>
    </row>
    <row r="36">
      <c r="A36" s="23" t="inlineStr">
        <is>
          <t>2026-04-08</t>
        </is>
      </c>
      <c r="B36" s="13" t="n">
        <v>258.66</v>
      </c>
      <c r="C36" s="13" t="n">
        <v>479.75</v>
      </c>
      <c r="D36" s="13" t="n">
        <v>434.53</v>
      </c>
      <c r="E36" s="13" t="n">
        <v>317.32</v>
      </c>
      <c r="F36" s="13" t="n">
        <v>307.97</v>
      </c>
      <c r="G36" s="13" t="n">
        <v>374.33</v>
      </c>
      <c r="H36" s="13" t="n">
        <v>676.01</v>
      </c>
    </row>
    <row r="37">
      <c r="A37" s="22" t="inlineStr">
        <is>
          <t>2026-04-09</t>
        </is>
      </c>
      <c r="B37" s="9" t="n">
        <v>260.25</v>
      </c>
      <c r="C37" s="9" t="n">
        <v>485.2</v>
      </c>
      <c r="D37" s="9" t="n">
        <v>437.91</v>
      </c>
      <c r="E37" s="9" t="n">
        <v>318.49</v>
      </c>
      <c r="F37" s="9" t="n">
        <v>310.33</v>
      </c>
      <c r="G37" s="9" t="n">
        <v>373.07</v>
      </c>
      <c r="H37" s="9" t="n">
        <v>679.91</v>
      </c>
    </row>
    <row r="38">
      <c r="A38" s="23" t="inlineStr">
        <is>
          <t>2026-04-10</t>
        </is>
      </c>
      <c r="B38" s="13" t="n">
        <v>260.24</v>
      </c>
      <c r="C38" s="13" t="n">
        <v>479.9</v>
      </c>
      <c r="D38" s="13" t="n">
        <v>437.13</v>
      </c>
      <c r="E38" s="13" t="n">
        <v>317.24</v>
      </c>
      <c r="F38" s="13" t="n">
        <v>309.87</v>
      </c>
      <c r="G38" s="13" t="n">
        <v>370.87</v>
      </c>
      <c r="H38" s="13" t="n">
        <v>679.46</v>
      </c>
    </row>
    <row r="39">
      <c r="A39" s="22" t="inlineStr">
        <is>
          <t>2026-04-13</t>
        </is>
      </c>
      <c r="B39" s="9" t="n">
        <v>258.96</v>
      </c>
      <c r="C39" s="9" t="n">
        <v>480.19</v>
      </c>
      <c r="D39" s="9" t="n">
        <v>435.36</v>
      </c>
      <c r="E39" s="9" t="n">
        <v>321.31</v>
      </c>
      <c r="F39" s="9" t="n">
        <v>313.68</v>
      </c>
      <c r="G39" s="9" t="n">
        <v>384.37</v>
      </c>
      <c r="H39" s="9" t="n">
        <v>686.1</v>
      </c>
    </row>
    <row r="40">
      <c r="A40" s="23" t="inlineStr">
        <is>
          <t>2026-04-14</t>
        </is>
      </c>
      <c r="B40" s="13" t="n">
        <v>258.59</v>
      </c>
      <c r="C40" s="13" t="n">
        <v>477.54</v>
      </c>
      <c r="D40" s="13" t="n">
        <v>445.09</v>
      </c>
      <c r="E40" s="13" t="n">
        <v>332.91</v>
      </c>
      <c r="F40" s="13" t="n">
        <v>311.12</v>
      </c>
      <c r="G40" s="13" t="n">
        <v>393.11</v>
      </c>
      <c r="H40" s="13" t="n">
        <v>694.46</v>
      </c>
    </row>
    <row r="41">
      <c r="A41" s="22" t="inlineStr">
        <is>
          <t>2026-04-15</t>
        </is>
      </c>
      <c r="B41" s="9" t="n">
        <v>266.18</v>
      </c>
      <c r="C41" s="9" t="n">
        <v>474.09</v>
      </c>
      <c r="D41" s="9" t="n">
        <v>440.46</v>
      </c>
      <c r="E41" s="9" t="n">
        <v>337.12</v>
      </c>
      <c r="F41" s="9" t="n">
        <v>305.93</v>
      </c>
      <c r="G41" s="9" t="n">
        <v>411.22</v>
      </c>
      <c r="H41" s="9" t="n">
        <v>699.9400000000001</v>
      </c>
    </row>
    <row r="42">
      <c r="A42" s="23" t="inlineStr">
        <is>
          <t>2026-04-16</t>
        </is>
      </c>
      <c r="B42" s="13" t="n">
        <v>263.16</v>
      </c>
      <c r="C42" s="13" t="n">
        <v>475.12</v>
      </c>
      <c r="D42" s="13" t="n">
        <v>440.08</v>
      </c>
      <c r="E42" s="13" t="n">
        <v>336.02</v>
      </c>
      <c r="F42" s="13" t="n">
        <v>309.95</v>
      </c>
      <c r="G42" s="13" t="n">
        <v>420.26</v>
      </c>
      <c r="H42" s="13" t="n">
        <v>701.66</v>
      </c>
    </row>
    <row r="43">
      <c r="A43" s="22" t="inlineStr">
        <is>
          <t>2026-04-17</t>
        </is>
      </c>
      <c r="B43" s="9" t="n">
        <v>269.98</v>
      </c>
      <c r="C43" s="9" t="n">
        <v>474.58</v>
      </c>
      <c r="D43" s="9" t="n">
        <v>445.93</v>
      </c>
      <c r="E43" s="9" t="n">
        <v>341.68</v>
      </c>
      <c r="F43" s="9" t="n">
        <v>310.29</v>
      </c>
      <c r="G43" s="9" t="n">
        <v>422.79</v>
      </c>
      <c r="H43" s="9" t="n">
        <v>710.14</v>
      </c>
    </row>
    <row r="44">
      <c r="A44" s="23" t="inlineStr">
        <is>
          <t>2026-04-20</t>
        </is>
      </c>
      <c r="B44" s="13" t="n">
        <v>272.8</v>
      </c>
      <c r="C44" s="13" t="n">
        <v>472.08</v>
      </c>
      <c r="D44" s="13" t="n">
        <v>442.09</v>
      </c>
      <c r="E44" s="13" t="n">
        <v>337.42</v>
      </c>
      <c r="F44" s="13" t="n">
        <v>316.99</v>
      </c>
      <c r="G44" s="13" t="n">
        <v>418.07</v>
      </c>
      <c r="H44" s="13" t="n">
        <v>708.72</v>
      </c>
    </row>
    <row r="45">
      <c r="A45" s="22" t="inlineStr">
        <is>
          <t>2026-04-21</t>
        </is>
      </c>
      <c r="B45" s="9" t="n">
        <v>265.93</v>
      </c>
      <c r="C45" s="9" t="n">
        <v>468.5</v>
      </c>
      <c r="D45" s="9" t="n">
        <v>429.57</v>
      </c>
      <c r="E45" s="9" t="n">
        <v>332.29</v>
      </c>
      <c r="F45" s="9" t="n">
        <v>313</v>
      </c>
      <c r="G45" s="9" t="n">
        <v>424.16</v>
      </c>
      <c r="H45" s="9" t="n">
        <v>704.08</v>
      </c>
    </row>
    <row r="46">
      <c r="A46" s="23" t="inlineStr">
        <is>
          <t>2026-04-22</t>
        </is>
      </c>
      <c r="B46" s="13" t="n">
        <v>272.92</v>
      </c>
      <c r="C46" s="13" t="n">
        <v>465.4</v>
      </c>
      <c r="D46" s="13" t="n">
        <v>435.26</v>
      </c>
      <c r="E46" s="13" t="n">
        <v>339.32</v>
      </c>
      <c r="F46" s="13" t="n">
        <v>313.02</v>
      </c>
      <c r="G46" s="13" t="n">
        <v>432.92</v>
      </c>
      <c r="H46" s="13" t="n">
        <v>711.21</v>
      </c>
    </row>
    <row r="47">
      <c r="A47" s="22" t="inlineStr">
        <is>
          <t>2026-04-23</t>
        </is>
      </c>
      <c r="B47" s="9" t="n">
        <v>273.18</v>
      </c>
      <c r="C47" s="9" t="n">
        <v>470.55</v>
      </c>
      <c r="D47" s="9" t="n">
        <v>431.04</v>
      </c>
      <c r="E47" s="9" t="n">
        <v>338.89</v>
      </c>
      <c r="F47" s="9" t="n">
        <v>311.69</v>
      </c>
      <c r="G47" s="9" t="n">
        <v>415.75</v>
      </c>
      <c r="H47" s="9" t="n">
        <v>708.45</v>
      </c>
    </row>
    <row r="48">
      <c r="A48" s="23" t="inlineStr">
        <is>
          <t>2026-04-24</t>
        </is>
      </c>
      <c r="B48" s="13" t="n">
        <v>270.81</v>
      </c>
      <c r="C48" s="13" t="n">
        <v>469.32</v>
      </c>
      <c r="D48" s="13" t="n">
        <v>433.25</v>
      </c>
      <c r="E48" s="13" t="n">
        <v>344.4</v>
      </c>
      <c r="F48" s="13" t="n">
        <v>308.28</v>
      </c>
      <c r="G48" s="13" t="n">
        <v>424.62</v>
      </c>
      <c r="H48" s="13" t="n">
        <v>713.9400000000001</v>
      </c>
    </row>
    <row r="49">
      <c r="A49" s="22" t="inlineStr">
        <is>
          <t>2026-04-27</t>
        </is>
      </c>
      <c r="B49" s="9" t="n">
        <v>267.36</v>
      </c>
      <c r="C49" s="9" t="n">
        <v>472.81</v>
      </c>
      <c r="D49" s="9" t="n">
        <v>429.89</v>
      </c>
      <c r="E49" s="9" t="n">
        <v>350.34</v>
      </c>
      <c r="F49" s="9" t="n">
        <v>311.63</v>
      </c>
      <c r="G49" s="9" t="n">
        <v>424.82</v>
      </c>
      <c r="H49" s="9" t="n">
        <v>715.17</v>
      </c>
    </row>
    <row r="50">
      <c r="A50" s="23" t="inlineStr">
        <is>
          <t>2026-04-28</t>
        </is>
      </c>
      <c r="B50" s="13" t="n">
        <v>270.46</v>
      </c>
      <c r="C50" s="13" t="n">
        <v>478.16</v>
      </c>
      <c r="D50" s="13" t="n">
        <v>421.91</v>
      </c>
      <c r="E50" s="13" t="n">
        <v>349.78</v>
      </c>
      <c r="F50" s="13" t="n">
        <v>311.45</v>
      </c>
      <c r="G50" s="13" t="n">
        <v>429.25</v>
      </c>
      <c r="H50" s="13" t="n">
        <v>711.6900000000001</v>
      </c>
    </row>
    <row r="51">
      <c r="A51" s="22" t="inlineStr">
        <is>
          <t>2026-04-29</t>
        </is>
      </c>
      <c r="B51" s="9" t="n">
        <v>269.92</v>
      </c>
      <c r="C51" s="9" t="n">
        <v>475.38</v>
      </c>
      <c r="D51" s="9" t="n">
        <v>417.41</v>
      </c>
      <c r="E51" s="9" t="n">
        <v>349.94</v>
      </c>
      <c r="F51" s="9" t="n">
        <v>309.25</v>
      </c>
      <c r="G51" s="9" t="n">
        <v>424.46</v>
      </c>
      <c r="H51" s="9" t="n">
        <v>711.58</v>
      </c>
    </row>
    <row r="52">
      <c r="A52" s="23" t="inlineStr">
        <is>
          <t>2026-04-30</t>
        </is>
      </c>
      <c r="B52" s="13" t="n">
        <v>271.1</v>
      </c>
      <c r="C52" s="13" t="n">
        <v>473.6</v>
      </c>
      <c r="D52" s="13" t="n">
        <v>423.66</v>
      </c>
      <c r="E52" s="13" t="n">
        <v>384.8</v>
      </c>
      <c r="F52" s="13" t="n">
        <v>313.23</v>
      </c>
      <c r="G52" s="13" t="n">
        <v>407.78</v>
      </c>
      <c r="H52" s="13" t="n">
        <v>718.66</v>
      </c>
    </row>
    <row r="53">
      <c r="A53" s="22" t="inlineStr">
        <is>
          <t>2026-05-01</t>
        </is>
      </c>
      <c r="B53" s="9" t="n">
        <v>279.88</v>
      </c>
      <c r="C53" s="9" t="n">
        <v>473.01</v>
      </c>
      <c r="D53" s="9" t="n">
        <v>423.18</v>
      </c>
      <c r="E53" s="9" t="n">
        <v>385.69</v>
      </c>
      <c r="F53" s="9" t="n">
        <v>312.47</v>
      </c>
      <c r="G53" s="9" t="n">
        <v>414.44</v>
      </c>
      <c r="H53" s="9" t="n">
        <v>720.65</v>
      </c>
    </row>
    <row r="54">
      <c r="A54" s="23" t="inlineStr">
        <is>
          <t>2026-05-04</t>
        </is>
      </c>
      <c r="B54" s="13" t="n">
        <v>276.58</v>
      </c>
      <c r="C54" s="13" t="n">
        <v>468.52</v>
      </c>
      <c r="D54" s="13" t="n">
        <v>414.71</v>
      </c>
      <c r="E54" s="13" t="n">
        <v>383.25</v>
      </c>
      <c r="F54" s="13" t="n">
        <v>307.65</v>
      </c>
      <c r="G54" s="13" t="n">
        <v>413.62</v>
      </c>
      <c r="H54" s="13" t="n">
        <v>718.01</v>
      </c>
    </row>
    <row r="55">
      <c r="A55" s="22" t="inlineStr">
        <is>
          <t>2026-05-05</t>
        </is>
      </c>
      <c r="B55" s="9" t="n">
        <v>283.92</v>
      </c>
      <c r="C55" s="9" t="n">
        <v>465.52</v>
      </c>
      <c r="D55" s="9" t="n">
        <v>418.27</v>
      </c>
      <c r="E55" s="9" t="n">
        <v>388.43</v>
      </c>
      <c r="F55" s="9" t="n">
        <v>309.4</v>
      </c>
      <c r="G55" s="9" t="n">
        <v>411.38</v>
      </c>
      <c r="H55" s="9" t="n">
        <v>723.77</v>
      </c>
    </row>
    <row r="56">
      <c r="A56" s="23" t="inlineStr">
        <is>
          <t>2026-05-06</t>
        </is>
      </c>
      <c r="B56" s="13" t="n">
        <v>287.25</v>
      </c>
      <c r="C56" s="13" t="n">
        <v>469.83</v>
      </c>
      <c r="D56" s="13" t="n">
        <v>430.96</v>
      </c>
      <c r="E56" s="13" t="n">
        <v>398.04</v>
      </c>
      <c r="F56" s="13" t="n">
        <v>314.9</v>
      </c>
      <c r="G56" s="13" t="n">
        <v>413.96</v>
      </c>
      <c r="H56" s="13" t="n">
        <v>733.83</v>
      </c>
    </row>
    <row r="57">
      <c r="A57" s="22" t="inlineStr">
        <is>
          <t>2026-05-07</t>
        </is>
      </c>
      <c r="B57" s="9" t="n">
        <v>287.18</v>
      </c>
      <c r="C57" s="9" t="n">
        <v>475.08</v>
      </c>
      <c r="D57" s="9" t="n">
        <v>431.68</v>
      </c>
      <c r="E57" s="9" t="n">
        <v>397.99</v>
      </c>
      <c r="F57" s="9" t="n">
        <v>306.27</v>
      </c>
      <c r="G57" s="9" t="n">
        <v>420.77</v>
      </c>
      <c r="H57" s="9" t="n">
        <v>731.58</v>
      </c>
    </row>
    <row r="58">
      <c r="A58" s="23" t="inlineStr">
        <is>
          <t>2026-05-08</t>
        </is>
      </c>
      <c r="B58" s="13" t="n">
        <v>293.05</v>
      </c>
      <c r="C58" s="13" t="n">
        <v>475.94</v>
      </c>
      <c r="D58" s="13" t="n">
        <v>433.77</v>
      </c>
      <c r="E58" s="13" t="n">
        <v>400.8</v>
      </c>
      <c r="F58" s="13" t="n">
        <v>302.1</v>
      </c>
      <c r="G58" s="13" t="n">
        <v>415.12</v>
      </c>
      <c r="H58" s="13" t="n">
        <v>737.62</v>
      </c>
    </row>
    <row r="59">
      <c r="A59" s="22" t="inlineStr">
        <is>
          <t>2026-05-11</t>
        </is>
      </c>
      <c r="B59" s="9" t="n">
        <v>292.68</v>
      </c>
      <c r="C59" s="9" t="n">
        <v>479.55</v>
      </c>
      <c r="D59" s="9" t="n">
        <v>434.65</v>
      </c>
      <c r="E59" s="9" t="n">
        <v>388.64</v>
      </c>
      <c r="F59" s="9" t="n">
        <v>300</v>
      </c>
      <c r="G59" s="9" t="n">
        <v>412.66</v>
      </c>
      <c r="H59" s="9" t="n">
        <v>739.3</v>
      </c>
    </row>
    <row r="60">
      <c r="A60" s="23" t="inlineStr">
        <is>
          <t>2026-05-12</t>
        </is>
      </c>
      <c r="B60" s="13" t="n">
        <v>294.8</v>
      </c>
      <c r="C60" s="13" t="n">
        <v>484.96</v>
      </c>
      <c r="D60" s="13" t="n">
        <v>432.93</v>
      </c>
      <c r="E60" s="13" t="n">
        <v>387.35</v>
      </c>
      <c r="F60" s="13" t="n">
        <v>304.88</v>
      </c>
      <c r="G60" s="13" t="n">
        <v>407.77</v>
      </c>
      <c r="H60" s="13" t="n">
        <v>738.1799999999999</v>
      </c>
    </row>
    <row r="61">
      <c r="A61" s="22" t="inlineStr">
        <is>
          <t>2026-05-13</t>
        </is>
      </c>
      <c r="B61" s="9" t="n">
        <v>298.87</v>
      </c>
      <c r="C61" s="9" t="n">
        <v>485.52</v>
      </c>
      <c r="D61" s="9" t="n">
        <v>430.5</v>
      </c>
      <c r="E61" s="9" t="n">
        <v>402.62</v>
      </c>
      <c r="F61" s="9" t="n">
        <v>300.25</v>
      </c>
      <c r="G61" s="9" t="n">
        <v>405.21</v>
      </c>
      <c r="H61" s="9" t="n">
        <v>742.3099999999999</v>
      </c>
    </row>
    <row r="62">
      <c r="A62" s="23" t="inlineStr">
        <is>
          <t>2026-05-14</t>
        </is>
      </c>
      <c r="B62" s="13" t="n">
        <v>298.21</v>
      </c>
      <c r="C62" s="13" t="n">
        <v>484.06</v>
      </c>
      <c r="D62" s="13" t="n">
        <v>427.21</v>
      </c>
      <c r="E62" s="13" t="n">
        <v>401.07</v>
      </c>
      <c r="F62" s="13" t="n">
        <v>299.91</v>
      </c>
      <c r="G62" s="13" t="n">
        <v>409.43</v>
      </c>
      <c r="H62" s="13" t="n">
        <v>748.17</v>
      </c>
    </row>
    <row r="63">
      <c r="A63" s="22" t="inlineStr">
        <is>
          <t>2026-05-15</t>
        </is>
      </c>
      <c r="B63" s="9" t="n">
        <v>300.23</v>
      </c>
      <c r="C63" s="9" t="n">
        <v>482.7</v>
      </c>
      <c r="D63" s="9" t="n">
        <v>417.29</v>
      </c>
      <c r="E63" s="9" t="n">
        <v>396.78</v>
      </c>
      <c r="F63" s="9" t="n">
        <v>297.81</v>
      </c>
      <c r="G63" s="9" t="n">
        <v>421.92</v>
      </c>
      <c r="H63" s="9" t="n">
        <v>739.17</v>
      </c>
    </row>
    <row r="64">
      <c r="A64" s="23" t="inlineStr">
        <is>
          <t>2026-05-18</t>
        </is>
      </c>
      <c r="B64" s="13" t="n">
        <v>297.84</v>
      </c>
      <c r="C64" s="13" t="n">
        <v>488.38</v>
      </c>
      <c r="D64" s="13" t="n">
        <v>418.43</v>
      </c>
      <c r="E64" s="13" t="n">
        <v>396.94</v>
      </c>
      <c r="F64" s="13" t="n">
        <v>300.73</v>
      </c>
      <c r="G64" s="13" t="n">
        <v>423.54</v>
      </c>
      <c r="H64" s="13" t="n">
        <v>738.65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12" customWidth="1" min="4" max="4"/>
    <col width="16" customWidth="1" min="5" max="5"/>
    <col width="12" customWidth="1" min="6" max="6"/>
  </cols>
  <sheetData>
    <row r="1" ht="36" customHeight="1">
      <c r="A1" s="1" t="inlineStr">
        <is>
          <t>RESUMEN EJECUTIVO DE LA CARTERA</t>
        </is>
      </c>
    </row>
    <row r="2" ht="20" customHeight="1">
      <c r="A2" s="2" t="inlineStr">
        <is>
          <t>KPIs consolidados  ·  Se actualiza automáticamente al modificar 'Mi Cartera'</t>
        </is>
      </c>
    </row>
    <row r="5" ht="22" customHeight="1">
      <c r="B5" s="24" t="inlineStr">
        <is>
          <t>💼  Valor total de compra (USD)</t>
        </is>
      </c>
      <c r="E5" s="24" t="inlineStr">
        <is>
          <t>🏆  Mejor activo (mayor P&amp;L %)</t>
        </is>
      </c>
    </row>
    <row r="6" ht="28" customHeight="1">
      <c r="B6" s="25">
        <f>'Mi Cartera'!F12</f>
        <v/>
      </c>
      <c r="E6" s="26">
        <f>INDEX('Mi Cartera'!A5:A11,MATCH(MAX('Mi Cartera'!I5:I11),'Mi Cartera'!I5:I11,0))</f>
        <v/>
      </c>
    </row>
    <row r="8" ht="22" customHeight="1">
      <c r="B8" s="24" t="inlineStr">
        <is>
          <t>📈  Valor actual de la cartera</t>
        </is>
      </c>
      <c r="E8" s="24" t="inlineStr">
        <is>
          <t>📉  Peor activo (menor P&amp;L %)</t>
        </is>
      </c>
    </row>
    <row r="9" ht="28" customHeight="1">
      <c r="B9" s="27">
        <f>'Mi Cartera'!G12</f>
        <v/>
      </c>
      <c r="E9" s="28">
        <f>INDEX('Mi Cartera'!A5:A11,MATCH(MIN('Mi Cartera'!I5:I11),'Mi Cartera'!I5:I11,0))</f>
        <v/>
      </c>
    </row>
    <row r="11" ht="22" customHeight="1">
      <c r="B11" s="24" t="inlineStr">
        <is>
          <t>💰  P&amp;L total (USD)</t>
        </is>
      </c>
      <c r="E11" s="24" t="inlineStr">
        <is>
          <t>🔢  Cantidad de activos</t>
        </is>
      </c>
    </row>
    <row r="12" ht="28" customHeight="1">
      <c r="B12" s="29">
        <f>'Mi Cartera'!H12</f>
        <v/>
      </c>
      <c r="E12" s="30">
        <f>COUNTA('Mi Cartera'!A5:A11)</f>
        <v/>
      </c>
    </row>
    <row r="14" ht="22" customHeight="1">
      <c r="B14" s="24" t="inlineStr">
        <is>
          <t>📊  P&amp;L total (%)</t>
        </is>
      </c>
      <c r="E14" s="24" t="inlineStr">
        <is>
          <t>📅  Última actualización</t>
        </is>
      </c>
    </row>
    <row r="15" ht="28" customHeight="1">
      <c r="B15" s="31">
        <f>'Mi Cartera'!I12</f>
        <v/>
      </c>
      <c r="E15" s="32">
        <f>TODAY()</f>
        <v/>
      </c>
    </row>
    <row r="18" ht="26" customHeight="1">
      <c r="B18" s="33" t="inlineStr">
        <is>
          <t>DETALLE POR ACTIVO</t>
        </is>
      </c>
    </row>
    <row r="19" ht="24" customHeight="1">
      <c r="B19" s="3" t="inlineStr">
        <is>
          <t>Ticker</t>
        </is>
      </c>
      <c r="C19" s="3" t="inlineStr">
        <is>
          <t>P&amp;L (USD)</t>
        </is>
      </c>
      <c r="D19" s="3" t="inlineStr">
        <is>
          <t>P&amp;L (%)</t>
        </is>
      </c>
      <c r="E19" s="3" t="inlineStr">
        <is>
          <t>Valor actual</t>
        </is>
      </c>
      <c r="F19" s="3" t="inlineStr">
        <is>
          <t>Peso (%)</t>
        </is>
      </c>
    </row>
    <row r="20" ht="20" customHeight="1">
      <c r="B20" s="34">
        <f>'Mi Cartera'!A5</f>
        <v/>
      </c>
      <c r="C20" s="10">
        <f>'Mi Cartera'!H5</f>
        <v/>
      </c>
      <c r="D20" s="11">
        <f>'Mi Cartera'!I5</f>
        <v/>
      </c>
      <c r="E20" s="9">
        <f>'Mi Cartera'!G5</f>
        <v/>
      </c>
      <c r="F20" s="12">
        <f>'Mi Cartera'!J5</f>
        <v/>
      </c>
    </row>
    <row r="21" ht="20" customHeight="1">
      <c r="B21" s="35">
        <f>'Mi Cartera'!A6</f>
        <v/>
      </c>
      <c r="C21" s="14">
        <f>'Mi Cartera'!H6</f>
        <v/>
      </c>
      <c r="D21" s="15">
        <f>'Mi Cartera'!I6</f>
        <v/>
      </c>
      <c r="E21" s="13">
        <f>'Mi Cartera'!G6</f>
        <v/>
      </c>
      <c r="F21" s="16">
        <f>'Mi Cartera'!J6</f>
        <v/>
      </c>
    </row>
    <row r="22" ht="20" customHeight="1">
      <c r="B22" s="34">
        <f>'Mi Cartera'!A7</f>
        <v/>
      </c>
      <c r="C22" s="10">
        <f>'Mi Cartera'!H7</f>
        <v/>
      </c>
      <c r="D22" s="11">
        <f>'Mi Cartera'!I7</f>
        <v/>
      </c>
      <c r="E22" s="9">
        <f>'Mi Cartera'!G7</f>
        <v/>
      </c>
      <c r="F22" s="12">
        <f>'Mi Cartera'!J7</f>
        <v/>
      </c>
    </row>
    <row r="23" ht="20" customHeight="1">
      <c r="B23" s="35">
        <f>'Mi Cartera'!A8</f>
        <v/>
      </c>
      <c r="C23" s="14">
        <f>'Mi Cartera'!H8</f>
        <v/>
      </c>
      <c r="D23" s="15">
        <f>'Mi Cartera'!I8</f>
        <v/>
      </c>
      <c r="E23" s="13">
        <f>'Mi Cartera'!G8</f>
        <v/>
      </c>
      <c r="F23" s="16">
        <f>'Mi Cartera'!J8</f>
        <v/>
      </c>
    </row>
    <row r="24" ht="20" customHeight="1">
      <c r="B24" s="34">
        <f>'Mi Cartera'!A9</f>
        <v/>
      </c>
      <c r="C24" s="10">
        <f>'Mi Cartera'!H9</f>
        <v/>
      </c>
      <c r="D24" s="11">
        <f>'Mi Cartera'!I9</f>
        <v/>
      </c>
      <c r="E24" s="9">
        <f>'Mi Cartera'!G9</f>
        <v/>
      </c>
      <c r="F24" s="12">
        <f>'Mi Cartera'!J9</f>
        <v/>
      </c>
    </row>
    <row r="25" ht="20" customHeight="1">
      <c r="B25" s="35">
        <f>'Mi Cartera'!A10</f>
        <v/>
      </c>
      <c r="C25" s="14">
        <f>'Mi Cartera'!H10</f>
        <v/>
      </c>
      <c r="D25" s="15">
        <f>'Mi Cartera'!I10</f>
        <v/>
      </c>
      <c r="E25" s="13">
        <f>'Mi Cartera'!G10</f>
        <v/>
      </c>
      <c r="F25" s="16">
        <f>'Mi Cartera'!J10</f>
        <v/>
      </c>
    </row>
    <row r="26" ht="20" customHeight="1">
      <c r="B26" s="34">
        <f>'Mi Cartera'!A11</f>
        <v/>
      </c>
      <c r="C26" s="10">
        <f>'Mi Cartera'!H11</f>
        <v/>
      </c>
      <c r="D26" s="11">
        <f>'Mi Cartera'!I11</f>
        <v/>
      </c>
      <c r="E26" s="9">
        <f>'Mi Cartera'!G11</f>
        <v/>
      </c>
      <c r="F26" s="12">
        <f>'Mi Cartera'!J11</f>
        <v/>
      </c>
    </row>
  </sheetData>
  <mergeCells count="19">
    <mergeCell ref="E12:F12"/>
    <mergeCell ref="E5:F5"/>
    <mergeCell ref="E14:F14"/>
    <mergeCell ref="B18:F18"/>
    <mergeCell ref="E8:F8"/>
    <mergeCell ref="B12:C12"/>
    <mergeCell ref="A2:I2"/>
    <mergeCell ref="B11:C11"/>
    <mergeCell ref="B14:C14"/>
    <mergeCell ref="E9:F9"/>
    <mergeCell ref="B8:C8"/>
    <mergeCell ref="E6:F6"/>
    <mergeCell ref="E15:F15"/>
    <mergeCell ref="E11:F11"/>
    <mergeCell ref="B9:C9"/>
    <mergeCell ref="B6:C6"/>
    <mergeCell ref="B15:C15"/>
    <mergeCell ref="B5:C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2026-05-20T21:52:09Z</dcterms:created>
  <dcterms:modified xsi:type="dcterms:W3CDTF">2026-05-20T21:52:10Z</dcterms:modified>
</cp:coreProperties>
</file>